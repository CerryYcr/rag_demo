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460" activeTab="4"/>
  </bookViews>
  <sheets>
    <sheet name="Excel 常用函数速查表" sheetId="1" r:id="rId1"/>
    <sheet name="虚拟员工花名册" sheetId="2" r:id="rId2"/>
    <sheet name="公司收益分析模板" sheetId="3" r:id="rId3"/>
    <sheet name="员工月度考勤统计表" sheetId="4" r:id="rId4"/>
    <sheet name="员工绩效考核表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<sst xmlns="http://schemas.openxmlformats.org/spreadsheetml/2006/main" count="98" uniqueCount="91">
  <si>
    <t>函数名</t>
  </si>
  <si>
    <t>类别</t>
  </si>
  <si>
    <t>功能</t>
  </si>
  <si>
    <t>示例</t>
  </si>
  <si>
    <t>备注</t>
  </si>
  <si>
    <t>VLOOKUP</t>
  </si>
  <si>
    <t>查找引用</t>
  </si>
  <si>
    <t>按列查找对应值</t>
  </si>
  <si>
    <t>=VLOOKUP (A2, 员工表！A:C,3,0)</t>
  </si>
  <si>
    <t>最后一个参数填 0 是精确匹配</t>
  </si>
  <si>
    <t>SUMIF</t>
  </si>
  <si>
    <t>统计</t>
  </si>
  <si>
    <t>单条件求和</t>
  </si>
  <si>
    <t>=SUMIF (B:B,"销售部",C:C)</t>
  </si>
  <si>
    <t>统计销售部的总业绩</t>
  </si>
  <si>
    <t>COUNTIF</t>
  </si>
  <si>
    <t>单条件计数</t>
  </si>
  <si>
    <t>统计得分 90 分以上的人数</t>
  </si>
  <si>
    <t>IF</t>
  </si>
  <si>
    <t>逻辑</t>
  </si>
  <si>
    <t>条件判断</t>
  </si>
  <si>
    <t>=IF (D2&gt;=10000,"达标","未达标")</t>
  </si>
  <si>
    <t>业绩≥1 万判定为达标</t>
  </si>
  <si>
    <t>DATEDIF</t>
  </si>
  <si>
    <t>日期</t>
  </si>
  <si>
    <t>计算两个日期间隔</t>
  </si>
  <si>
    <t>计算员工入职年限</t>
  </si>
  <si>
    <t>SUMIFS</t>
  </si>
  <si>
    <t>多条件求和</t>
  </si>
  <si>
    <t>=SUMIFS (C:C,B:B,"销售部",D:D,"华东区")</t>
  </si>
  <si>
    <t>统计华东区销售部总业绩</t>
  </si>
  <si>
    <t>INDEX+MATCH</t>
  </si>
  <si>
    <t>双向无误差查找</t>
  </si>
  <si>
    <t>可替代 VLOOKUP，不受列顺序影响</t>
  </si>
  <si>
    <t>序号</t>
  </si>
  <si>
    <t>员工 ID</t>
  </si>
  <si>
    <t>姓名</t>
  </si>
  <si>
    <t>部门</t>
  </si>
  <si>
    <t>岗位</t>
  </si>
  <si>
    <t>入职日期</t>
  </si>
  <si>
    <t>联系电话</t>
  </si>
  <si>
    <t>YG001</t>
  </si>
  <si>
    <t>张三</t>
  </si>
  <si>
    <t>研发部</t>
  </si>
  <si>
    <t>后端开发</t>
  </si>
  <si>
    <t>138xxxx1234</t>
  </si>
  <si>
    <t>YG002</t>
  </si>
  <si>
    <t>李浩然</t>
  </si>
  <si>
    <t>销售部</t>
  </si>
  <si>
    <t>销售主管</t>
  </si>
  <si>
    <t>135xxxx4567</t>
  </si>
  <si>
    <t>YG003</t>
  </si>
  <si>
    <t>王佳怡</t>
  </si>
  <si>
    <t>人事部</t>
  </si>
  <si>
    <t>薪酬专员</t>
  </si>
  <si>
    <t>136xxxx7890</t>
  </si>
  <si>
    <t>YG004</t>
  </si>
  <si>
    <t>陈俊宇</t>
  </si>
  <si>
    <t>运营部</t>
  </si>
  <si>
    <t>内容运营</t>
  </si>
  <si>
    <t>139xxxx0123</t>
  </si>
  <si>
    <t>YG005</t>
  </si>
  <si>
    <t>杨紫涵</t>
  </si>
  <si>
    <t>财务部</t>
  </si>
  <si>
    <t>会计</t>
  </si>
  <si>
    <t>137xxxx3456</t>
  </si>
  <si>
    <t>月份</t>
  </si>
  <si>
    <t>营业收入</t>
  </si>
  <si>
    <t>营业成本</t>
  </si>
  <si>
    <t>毛利润（公式：=B2-C2）</t>
  </si>
  <si>
    <t>毛利率（公式：=D2/B2）</t>
  </si>
  <si>
    <t>费用合计</t>
  </si>
  <si>
    <t>净利润（公式：=D2-F2）</t>
  </si>
  <si>
    <t>同比增长率</t>
  </si>
  <si>
    <t>2023 年 1 月</t>
  </si>
  <si>
    <t>120 万</t>
  </si>
  <si>
    <t>48 万</t>
  </si>
  <si>
    <t>72 万</t>
  </si>
  <si>
    <t>32 万</t>
  </si>
  <si>
    <t>40 万</t>
  </si>
  <si>
    <t>2023 年 2 月</t>
  </si>
  <si>
    <t>135 万</t>
  </si>
  <si>
    <t>52 万</t>
  </si>
  <si>
    <t>83 万</t>
  </si>
  <si>
    <t>35 万</t>
  </si>
  <si>
    <t>应出勤天数</t>
  </si>
  <si>
    <t>事假</t>
  </si>
  <si>
    <t>病假</t>
  </si>
  <si>
    <t>实际出勤（公式：=D2-E2-F2）</t>
  </si>
  <si>
    <t>迟到次数</t>
  </si>
  <si>
    <t>全勤奖（公式：=IF (G2=D2,500,0)）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</si>
</sst>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>
      <alignment vertical="center"/>
    </xf>
    <xf numFmtId="10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D14" sqref="D14"/>
    </sheetView>
  </sheetViews>
  <sheetFormatPr defaultColWidth="8.88888888888889" defaultRowHeight="14.4" outlineLevelRow="7" outlineLevelCol="4"/>
  <cols>
    <col min="1" max="1" width="13" customWidth="1"/>
    <col min="2" max="2" width="9.66666666666667" customWidth="1"/>
    <col min="3" max="3" width="18.6666666666667" customWidth="1"/>
    <col min="4" max="4" width="44.5555555555556" customWidth="1"/>
    <col min="5" max="5" width="34.4444444444444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11</v>
      </c>
      <c r="C4" t="s">
        <v>16</v>
      </c>
      <c r="D4">
        <f>COUNTIF(C:C,"&gt;=90")</f>
        <v>0</v>
      </c>
      <c r="E4" t="s">
        <v>17</v>
      </c>
    </row>
    <row r="5" spans="1: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>
      <c r="A6" t="s">
        <v>23</v>
      </c>
      <c r="B6" t="s">
        <v>24</v>
      </c>
      <c r="C6" t="s">
        <v>25</v>
      </c>
      <c r="D6" t="e">
        <f ca="1">DATEDIF(E2,TODAY(),"y")</f>
        <v>#VALUE!</v>
      </c>
      <c r="E6" t="s">
        <v>26</v>
      </c>
    </row>
    <row r="7" spans="1:5">
      <c r="A7" t="s">
        <v>27</v>
      </c>
      <c r="B7" t="s">
        <v>11</v>
      </c>
      <c r="C7" t="s">
        <v>28</v>
      </c>
      <c r="D7" t="s">
        <v>29</v>
      </c>
      <c r="E7" t="s">
        <v>30</v>
      </c>
    </row>
    <row r="8" spans="1:5">
      <c r="A8" t="s">
        <v>31</v>
      </c>
      <c r="B8" t="s">
        <v>6</v>
      </c>
      <c r="C8" t="s">
        <v>32</v>
      </c>
      <c r="D8" t="e" cm="1">
        <f t="array" ref="D8">INDEX(C:C,MATCH(A2,B:B,0))</f>
        <v>#N/A</v>
      </c>
      <c r="E8" t="s">
        <v>33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D19" sqref="D19"/>
    </sheetView>
  </sheetViews>
  <sheetFormatPr defaultColWidth="8.88888888888889" defaultRowHeight="14.4" outlineLevelRow="5" outlineLevelCol="6"/>
  <cols>
    <col min="1" max="1" width="5.66666666666667" customWidth="1"/>
    <col min="6" max="6" width="10.7777777777778" customWidth="1"/>
    <col min="7" max="7" width="13" customWidth="1"/>
  </cols>
  <sheetData>
    <row r="1" spans="1:7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</row>
    <row r="2" spans="1:7">
      <c r="A2">
        <v>1</v>
      </c>
      <c r="B2" t="s">
        <v>41</v>
      </c>
      <c r="C2" t="s">
        <v>42</v>
      </c>
      <c r="D2" t="s">
        <v>43</v>
      </c>
      <c r="E2" t="s">
        <v>44</v>
      </c>
      <c r="F2" s="3">
        <v>43963</v>
      </c>
      <c r="G2" t="s">
        <v>45</v>
      </c>
    </row>
    <row r="3" spans="1:7">
      <c r="A3">
        <v>2</v>
      </c>
      <c r="B3" t="s">
        <v>46</v>
      </c>
      <c r="C3" t="s">
        <v>47</v>
      </c>
      <c r="D3" t="s">
        <v>48</v>
      </c>
      <c r="E3" t="s">
        <v>49</v>
      </c>
      <c r="F3" s="3">
        <v>43698</v>
      </c>
      <c r="G3" t="s">
        <v>50</v>
      </c>
    </row>
    <row r="4" spans="1:7">
      <c r="A4">
        <v>3</v>
      </c>
      <c r="B4" t="s">
        <v>51</v>
      </c>
      <c r="C4" t="s">
        <v>52</v>
      </c>
      <c r="D4" t="s">
        <v>53</v>
      </c>
      <c r="E4" t="s">
        <v>54</v>
      </c>
      <c r="F4" s="3">
        <v>44264</v>
      </c>
      <c r="G4" t="s">
        <v>55</v>
      </c>
    </row>
    <row r="5" spans="1:7">
      <c r="A5">
        <v>4</v>
      </c>
      <c r="B5" t="s">
        <v>56</v>
      </c>
      <c r="C5" t="s">
        <v>57</v>
      </c>
      <c r="D5" t="s">
        <v>58</v>
      </c>
      <c r="E5" t="s">
        <v>59</v>
      </c>
      <c r="F5" s="3">
        <v>44576</v>
      </c>
      <c r="G5" t="s">
        <v>60</v>
      </c>
    </row>
    <row r="6" spans="1:7">
      <c r="A6">
        <v>5</v>
      </c>
      <c r="B6" t="s">
        <v>61</v>
      </c>
      <c r="C6" t="s">
        <v>62</v>
      </c>
      <c r="D6" t="s">
        <v>63</v>
      </c>
      <c r="E6" t="s">
        <v>64</v>
      </c>
      <c r="F6" s="3">
        <v>44138</v>
      </c>
      <c r="G6" t="s">
        <v>65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D18" sqref="D18"/>
    </sheetView>
  </sheetViews>
  <sheetFormatPr defaultColWidth="8.88888888888889" defaultRowHeight="14.4" outlineLevelRow="2" outlineLevelCol="7"/>
  <cols>
    <col min="1" max="1" width="14.1111111111111" customWidth="1"/>
    <col min="2" max="3" width="9.66666666666667" customWidth="1"/>
    <col min="4" max="5" width="25.4444444444444" customWidth="1"/>
    <col min="6" max="6" width="9.66666666666667" customWidth="1"/>
    <col min="7" max="7" width="25.4444444444444" customWidth="1"/>
    <col min="8" max="8" width="11.8888888888889" customWidth="1"/>
  </cols>
  <sheetData>
    <row r="1" spans="1:8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</row>
    <row r="2" spans="1:8">
      <c r="A2" t="s">
        <v>74</v>
      </c>
      <c r="B2" t="s">
        <v>75</v>
      </c>
      <c r="C2" t="s">
        <v>76</v>
      </c>
      <c r="D2" t="s">
        <v>77</v>
      </c>
      <c r="E2" s="1">
        <v>0.6</v>
      </c>
      <c r="F2" t="s">
        <v>78</v>
      </c>
      <c r="G2" t="s">
        <v>79</v>
      </c>
      <c r="H2" s="1">
        <v>0.12</v>
      </c>
    </row>
    <row r="3" spans="1:8">
      <c r="A3" t="s">
        <v>80</v>
      </c>
      <c r="B3" t="s">
        <v>81</v>
      </c>
      <c r="C3" t="s">
        <v>82</v>
      </c>
      <c r="D3" t="s">
        <v>83</v>
      </c>
      <c r="E3" s="2">
        <v>0.615</v>
      </c>
      <c r="F3" t="s">
        <v>84</v>
      </c>
      <c r="G3" t="s">
        <v>76</v>
      </c>
      <c r="H3" s="1">
        <v>0.15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G6" sqref="G6"/>
    </sheetView>
  </sheetViews>
  <sheetFormatPr defaultColWidth="8.88888888888889" defaultRowHeight="14.4"/>
  <cols>
    <col min="1" max="3" width="5.66666666666667" customWidth="1"/>
    <col min="4" max="4" width="11.8888888888889" customWidth="1"/>
    <col min="5" max="6" width="5.66666666666667" customWidth="1"/>
    <col min="7" max="7" width="31" customWidth="1"/>
    <col min="8" max="8" width="9.66666666666667" customWidth="1"/>
    <col min="9" max="9" width="37.7777777777778" customWidth="1"/>
  </cols>
  <sheetData>
    <row r="1" spans="1:9">
      <c r="A1" t="s">
        <v>34</v>
      </c>
      <c r="B1" t="s">
        <v>36</v>
      </c>
      <c r="C1" t="s">
        <v>37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I10" sqref="I10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Excel 常用函数速查表</vt:lpstr>
      <vt:lpstr>虚拟员工花名册</vt:lpstr>
      <vt:lpstr>公司收益分析模板</vt:lpstr>
      <vt:lpstr>员工月度考勤统计表</vt:lpstr>
      <vt:lpstr>员工绩效考核表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31446</dc:creator>
  <cp:lastModifiedBy>31446</cp:lastModifiedBy>
  <dcterms:created xsi:type="dcterms:W3CDTF">2026-06-24T15:23:47Z</dcterms:created>
  <dcterms:modified xsi:type="dcterms:W3CDTF">2026-06-24T15:26:57Z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ED3B65A2AF264174B475C3CFADFF8A2F_11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